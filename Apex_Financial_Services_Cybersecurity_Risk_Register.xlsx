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Methodology" sheetId="2" state="visible" r:id="rId2"/>
    <sheet xmlns:r="http://schemas.openxmlformats.org/officeDocument/2006/relationships" name="Executive Summary" sheetId="3" state="visible" r:id="rId3"/>
  </sheets>
  <definedNames>
    <definedName name="_xlnm._FilterDatabase" localSheetId="0" hidden="1">'Risk Register'!$A$4:$S$19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00000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A9D18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5" customWidth="1" min="4" max="4"/>
    <col width="32" customWidth="1" min="5" max="5"/>
    <col width="14" customWidth="1" min="6" max="6"/>
    <col width="12" customWidth="1" min="7" max="7"/>
    <col width="17" customWidth="1" min="8" max="8"/>
    <col width="16" customWidth="1" min="9" max="9"/>
    <col width="32" customWidth="1" min="10" max="10"/>
    <col width="16" customWidth="1" min="11" max="11"/>
    <col width="38" customWidth="1" min="12" max="12"/>
    <col width="22" customWidth="1" min="13" max="13"/>
    <col width="19" customWidth="1" min="14" max="14"/>
    <col width="18" customWidth="1" min="15" max="15"/>
    <col width="18" customWidth="1" min="16" max="16"/>
    <col width="16" customWidth="1" min="17" max="17"/>
    <col width="14" customWidth="1" min="18" max="18"/>
    <col width="14" customWidth="1" min="19" max="19"/>
  </cols>
  <sheetData>
    <row r="1">
      <c r="A1" s="1" t="inlineStr">
        <is>
          <t>Apex Financial Services — Cybersecurity Risk Register</t>
        </is>
      </c>
    </row>
    <row r="2">
      <c r="A2" s="2" t="inlineStr">
        <is>
          <t>Portfolio Project | Fictional Company | Risk scoring uses Likelihood × Impact (1–5)</t>
        </is>
      </c>
    </row>
    <row r="4">
      <c r="A4" s="3" t="inlineStr">
        <is>
          <t>R-001</t>
        </is>
      </c>
      <c r="B4" s="3" t="inlineStr">
        <is>
          <t>Phishing &amp; Credential Theft</t>
        </is>
      </c>
      <c r="C4" s="3" t="inlineStr">
        <is>
          <t>Employee email accounts</t>
        </is>
      </c>
      <c r="D4" s="3" t="inlineStr">
        <is>
          <t>Credential phishing</t>
        </is>
      </c>
      <c r="E4" s="3" t="inlineStr">
        <is>
          <t>Limited phishing awareness; users may click malicious links</t>
        </is>
      </c>
      <c r="F4" s="3" t="n">
        <v>4</v>
      </c>
      <c r="G4" s="3" t="n">
        <v>5</v>
      </c>
      <c r="H4" s="3" t="n"/>
      <c r="I4" s="3" t="n"/>
      <c r="J4" s="3" t="inlineStr">
        <is>
          <t>MFA; email filtering; security awareness training</t>
        </is>
      </c>
      <c r="K4" s="3" t="inlineStr">
        <is>
          <t>Mitigate</t>
        </is>
      </c>
      <c r="L4" s="3" t="inlineStr">
        <is>
          <t>Phishing simulations; strengthen email filtering; enforce phishing-resistant MFA for privileged users</t>
        </is>
      </c>
      <c r="M4" s="3" t="inlineStr">
        <is>
          <t>IT Security Manager</t>
        </is>
      </c>
      <c r="N4" s="3" t="n">
        <v>2</v>
      </c>
      <c r="O4" s="3" t="n">
        <v>4</v>
      </c>
      <c r="P4" s="3" t="n"/>
      <c r="Q4" s="3" t="n"/>
      <c r="R4" s="3" t="inlineStr">
        <is>
          <t>Open</t>
        </is>
      </c>
      <c r="S4" s="3" t="inlineStr">
        <is>
          <t>2026-10-15</t>
        </is>
      </c>
    </row>
    <row r="5">
      <c r="A5" s="4" t="inlineStr">
        <is>
          <t>R-002</t>
        </is>
      </c>
      <c r="B5" s="4" t="inlineStr">
        <is>
          <t>Ransomware Infection</t>
        </is>
      </c>
      <c r="C5" s="4" t="inlineStr">
        <is>
          <t>Endpoints and file shares</t>
        </is>
      </c>
      <c r="D5" s="4" t="inlineStr">
        <is>
          <t>Ransomware</t>
        </is>
      </c>
      <c r="E5" s="4" t="inlineStr">
        <is>
          <t>Unpatched endpoints; malicious attachments; excessive endpoint privileges</t>
        </is>
      </c>
      <c r="F5" s="4" t="n">
        <v>4</v>
      </c>
      <c r="G5" s="4" t="n">
        <v>5</v>
      </c>
      <c r="H5" s="4">
        <f>F5*G5</f>
        <v/>
      </c>
      <c r="I5" s="4">
        <f>IF(H5&gt;=15,"Critical",IF(H5&gt;=10,"High",IF(H5&gt;=5,"Medium","Low")))</f>
        <v/>
      </c>
      <c r="J5" s="4" t="inlineStr">
        <is>
          <t>Endpoint protection; backups; patching process</t>
        </is>
      </c>
      <c r="K5" s="4" t="inlineStr">
        <is>
          <t>Mitigate</t>
        </is>
      </c>
      <c r="L5" s="4" t="inlineStr">
        <is>
          <t>EDR tuning; offline/immutable backups; application allowlisting; tabletop exercise</t>
        </is>
      </c>
      <c r="M5" s="4" t="inlineStr">
        <is>
          <t>IT Security Manager</t>
        </is>
      </c>
      <c r="N5" s="4" t="n">
        <v>2</v>
      </c>
      <c r="O5" s="4" t="n">
        <v>4</v>
      </c>
      <c r="P5" s="4">
        <f>N5*O5</f>
        <v/>
      </c>
      <c r="Q5" s="4">
        <f>IF(P5&gt;=15,"Critical",IF(P5&gt;=10,"High",IF(P5&gt;=5,"Medium","Low")))</f>
        <v/>
      </c>
      <c r="R5" s="4" t="inlineStr">
        <is>
          <t>Open</t>
        </is>
      </c>
      <c r="S5" s="5" t="inlineStr">
        <is>
          <t>2026-11-01</t>
        </is>
      </c>
    </row>
    <row r="6">
      <c r="A6" s="4" t="inlineStr">
        <is>
          <t>R-003</t>
        </is>
      </c>
      <c r="B6" s="4" t="inlineStr">
        <is>
          <t>Unpatched Critical Systems</t>
        </is>
      </c>
      <c r="C6" s="4" t="inlineStr">
        <is>
          <t>Servers and workstations</t>
        </is>
      </c>
      <c r="D6" s="4" t="inlineStr">
        <is>
          <t>Exploitation of known vulnerabilities</t>
        </is>
      </c>
      <c r="E6" s="4" t="inlineStr">
        <is>
          <t>Delayed patch deployment and incomplete asset inventory</t>
        </is>
      </c>
      <c r="F6" s="4" t="n">
        <v>4</v>
      </c>
      <c r="G6" s="4" t="n">
        <v>4</v>
      </c>
      <c r="H6" s="4">
        <f>F6*G6</f>
        <v/>
      </c>
      <c r="I6" s="4">
        <f>IF(H6&gt;=15,"Critical",IF(H6&gt;=10,"High",IF(H6&gt;=5,"Medium","Low")))</f>
        <v/>
      </c>
      <c r="J6" s="4" t="inlineStr">
        <is>
          <t>Monthly patch cycle; vulnerability scanning</t>
        </is>
      </c>
      <c r="K6" s="4" t="inlineStr">
        <is>
          <t>Mitigate</t>
        </is>
      </c>
      <c r="L6" s="4" t="inlineStr">
        <is>
          <t>Risk-based patch SLAs; automated deployment; asset inventory reconciliation</t>
        </is>
      </c>
      <c r="M6" s="4" t="inlineStr">
        <is>
          <t>IT Operations Manager</t>
        </is>
      </c>
      <c r="N6" s="4" t="n">
        <v>2</v>
      </c>
      <c r="O6" s="4" t="n">
        <v>3</v>
      </c>
      <c r="P6" s="4">
        <f>N6*O6</f>
        <v/>
      </c>
      <c r="Q6" s="4">
        <f>IF(P6&gt;=15,"Critical",IF(P6&gt;=10,"High",IF(P6&gt;=5,"Medium","Low")))</f>
        <v/>
      </c>
      <c r="R6" s="4" t="inlineStr">
        <is>
          <t>In Progress</t>
        </is>
      </c>
      <c r="S6" s="5" t="inlineStr">
        <is>
          <t>2026-09-30</t>
        </is>
      </c>
    </row>
    <row r="7">
      <c r="A7" s="4" t="inlineStr">
        <is>
          <t>R-004</t>
        </is>
      </c>
      <c r="B7" s="4" t="inlineStr">
        <is>
          <t>Excessive User Privileges</t>
        </is>
      </c>
      <c r="C7" s="4" t="inlineStr">
        <is>
          <t>Identity and access management</t>
        </is>
      </c>
      <c r="D7" s="4" t="inlineStr">
        <is>
          <t>Privilege abuse</t>
        </is>
      </c>
      <c r="E7" s="4" t="inlineStr">
        <is>
          <t>Users retain access after role changes; weak access reviews</t>
        </is>
      </c>
      <c r="F7" s="4" t="n">
        <v>3</v>
      </c>
      <c r="G7" s="4" t="n">
        <v>5</v>
      </c>
      <c r="H7" s="4">
        <f>F7*G7</f>
        <v/>
      </c>
      <c r="I7" s="4">
        <f>IF(H7&gt;=15,"Critical",IF(H7&gt;=10,"High",IF(H7&gt;=5,"Medium","Low")))</f>
        <v/>
      </c>
      <c r="J7" s="4" t="inlineStr">
        <is>
          <t>Role-based access; manager approvals</t>
        </is>
      </c>
      <c r="K7" s="4" t="inlineStr">
        <is>
          <t>Mitigate</t>
        </is>
      </c>
      <c r="L7" s="4" t="inlineStr">
        <is>
          <t>Quarterly access reviews; least privilege; privileged access management</t>
        </is>
      </c>
      <c r="M7" s="4" t="inlineStr">
        <is>
          <t>IAM Manager</t>
        </is>
      </c>
      <c r="N7" s="4" t="n">
        <v>2</v>
      </c>
      <c r="O7" s="4" t="n">
        <v>4</v>
      </c>
      <c r="P7" s="4">
        <f>N7*O7</f>
        <v/>
      </c>
      <c r="Q7" s="4">
        <f>IF(P7&gt;=15,"Critical",IF(P7&gt;=10,"High",IF(P7&gt;=5,"Medium","Low")))</f>
        <v/>
      </c>
      <c r="R7" s="4" t="inlineStr">
        <is>
          <t>Open</t>
        </is>
      </c>
      <c r="S7" s="5" t="inlineStr">
        <is>
          <t>2026-10-31</t>
        </is>
      </c>
    </row>
    <row r="8">
      <c r="A8" s="4" t="inlineStr">
        <is>
          <t>R-005</t>
        </is>
      </c>
      <c r="B8" s="4" t="inlineStr">
        <is>
          <t>Third-Party Vendor Breach</t>
        </is>
      </c>
      <c r="C8" s="4" t="inlineStr">
        <is>
          <t>Vendor-managed systems/data</t>
        </is>
      </c>
      <c r="D8" s="4" t="inlineStr">
        <is>
          <t>Compromise of service provider</t>
        </is>
      </c>
      <c r="E8" s="4" t="inlineStr">
        <is>
          <t>Inconsistent vendor security assessments and contract requirements</t>
        </is>
      </c>
      <c r="F8" s="4" t="n">
        <v>3</v>
      </c>
      <c r="G8" s="4" t="n">
        <v>5</v>
      </c>
      <c r="H8" s="4">
        <f>F8*G8</f>
        <v/>
      </c>
      <c r="I8" s="4">
        <f>IF(H8&gt;=15,"Critical",IF(H8&gt;=10,"High",IF(H8&gt;=5,"Medium","Low")))</f>
        <v/>
      </c>
      <c r="J8" s="4" t="inlineStr">
        <is>
          <t>Vendor contracts; basic due diligence</t>
        </is>
      </c>
      <c r="K8" s="4" t="inlineStr">
        <is>
          <t>Mitigate</t>
        </is>
      </c>
      <c r="L8" s="4" t="inlineStr">
        <is>
          <t>Annual vendor risk assessments; security clauses; breach notification requirements</t>
        </is>
      </c>
      <c r="M8" s="4" t="inlineStr">
        <is>
          <t>GRC Manager</t>
        </is>
      </c>
      <c r="N8" s="4" t="n">
        <v>2</v>
      </c>
      <c r="O8" s="4" t="n">
        <v>4</v>
      </c>
      <c r="P8" s="4">
        <f>N8*O8</f>
        <v/>
      </c>
      <c r="Q8" s="4">
        <f>IF(P8&gt;=15,"Critical",IF(P8&gt;=10,"High",IF(P8&gt;=5,"Medium","Low")))</f>
        <v/>
      </c>
      <c r="R8" s="4" t="inlineStr">
        <is>
          <t>Open</t>
        </is>
      </c>
      <c r="S8" s="5" t="inlineStr">
        <is>
          <t>2026-11-15</t>
        </is>
      </c>
    </row>
    <row r="9">
      <c r="A9" s="4" t="inlineStr">
        <is>
          <t>R-006</t>
        </is>
      </c>
      <c r="B9" s="4" t="inlineStr">
        <is>
          <t>Data Loss / Accidental Disclosure</t>
        </is>
      </c>
      <c r="C9" s="4" t="inlineStr">
        <is>
          <t>Customer and employee data</t>
        </is>
      </c>
      <c r="D9" s="4" t="inlineStr">
        <is>
          <t>Unauthorized disclosure</t>
        </is>
      </c>
      <c r="E9" s="4" t="inlineStr">
        <is>
          <t>Sensitive data stored or shared without consistent classification</t>
        </is>
      </c>
      <c r="F9" s="4" t="n">
        <v>3</v>
      </c>
      <c r="G9" s="4" t="n">
        <v>5</v>
      </c>
      <c r="H9" s="4">
        <f>F9*G9</f>
        <v/>
      </c>
      <c r="I9" s="4">
        <f>IF(H9&gt;=15,"Critical",IF(H9&gt;=10,"High",IF(H9&gt;=5,"Medium","Low")))</f>
        <v/>
      </c>
      <c r="J9" s="4" t="inlineStr">
        <is>
          <t>Access controls; encryption; backups</t>
        </is>
      </c>
      <c r="K9" s="4" t="inlineStr">
        <is>
          <t>Mitigate</t>
        </is>
      </c>
      <c r="L9" s="4" t="inlineStr">
        <is>
          <t>Data classification policy; DLP controls; secure sharing standards</t>
        </is>
      </c>
      <c r="M9" s="4" t="inlineStr">
        <is>
          <t>Privacy Officer</t>
        </is>
      </c>
      <c r="N9" s="4" t="n">
        <v>2</v>
      </c>
      <c r="O9" s="4" t="n">
        <v>4</v>
      </c>
      <c r="P9" s="4">
        <f>N9*O9</f>
        <v/>
      </c>
      <c r="Q9" s="4">
        <f>IF(P9&gt;=15,"Critical",IF(P9&gt;=10,"High",IF(P9&gt;=5,"Medium","Low")))</f>
        <v/>
      </c>
      <c r="R9" s="4" t="inlineStr">
        <is>
          <t>Open</t>
        </is>
      </c>
      <c r="S9" s="5" t="inlineStr">
        <is>
          <t>2026-10-31</t>
        </is>
      </c>
    </row>
    <row r="10">
      <c r="A10" s="4" t="inlineStr">
        <is>
          <t>R-007</t>
        </is>
      </c>
      <c r="B10" s="4" t="inlineStr">
        <is>
          <t>Weak Passwords / Authentication</t>
        </is>
      </c>
      <c r="C10" s="4" t="inlineStr">
        <is>
          <t>Corporate applications</t>
        </is>
      </c>
      <c r="D10" s="4" t="inlineStr">
        <is>
          <t>Account takeover</t>
        </is>
      </c>
      <c r="E10" s="4" t="inlineStr">
        <is>
          <t>Password reuse; inconsistent MFA coverage</t>
        </is>
      </c>
      <c r="F10" s="4" t="n">
        <v>4</v>
      </c>
      <c r="G10" s="4" t="n">
        <v>4</v>
      </c>
      <c r="H10" s="4">
        <f>F10*G10</f>
        <v/>
      </c>
      <c r="I10" s="4">
        <f>IF(H10&gt;=15,"Critical",IF(H10&gt;=10,"High",IF(H10&gt;=5,"Medium","Low")))</f>
        <v/>
      </c>
      <c r="J10" s="4" t="inlineStr">
        <is>
          <t>Password policy; MFA on critical systems</t>
        </is>
      </c>
      <c r="K10" s="4" t="inlineStr">
        <is>
          <t>Mitigate</t>
        </is>
      </c>
      <c r="L10" s="4" t="inlineStr">
        <is>
          <t>Expand MFA; SSO; password manager; monitor compromised credentials</t>
        </is>
      </c>
      <c r="M10" s="4" t="inlineStr">
        <is>
          <t>IAM Manager</t>
        </is>
      </c>
      <c r="N10" s="4" t="n">
        <v>2</v>
      </c>
      <c r="O10" s="4" t="n">
        <v>3</v>
      </c>
      <c r="P10" s="4">
        <f>N10*O10</f>
        <v/>
      </c>
      <c r="Q10" s="4">
        <f>IF(P10&gt;=15,"Critical",IF(P10&gt;=10,"High",IF(P10&gt;=5,"Medium","Low")))</f>
        <v/>
      </c>
      <c r="R10" s="4" t="inlineStr">
        <is>
          <t>In Progress</t>
        </is>
      </c>
      <c r="S10" s="5" t="inlineStr">
        <is>
          <t>2026-09-15</t>
        </is>
      </c>
    </row>
    <row r="11">
      <c r="A11" s="4" t="inlineStr">
        <is>
          <t>R-008</t>
        </is>
      </c>
      <c r="B11" s="4" t="inlineStr">
        <is>
          <t>Insider Threat</t>
        </is>
      </c>
      <c r="C11" s="4" t="inlineStr">
        <is>
          <t>Corporate systems and data</t>
        </is>
      </c>
      <c r="D11" s="4" t="inlineStr">
        <is>
          <t>Malicious or negligent insider</t>
        </is>
      </c>
      <c r="E11" s="4" t="inlineStr">
        <is>
          <t>Limited behavioral monitoring; broad access to sensitive data</t>
        </is>
      </c>
      <c r="F11" s="4" t="n">
        <v>2</v>
      </c>
      <c r="G11" s="4" t="n">
        <v>5</v>
      </c>
      <c r="H11" s="4">
        <f>F11*G11</f>
        <v/>
      </c>
      <c r="I11" s="4">
        <f>IF(H11&gt;=15,"Critical",IF(H11&gt;=10,"High",IF(H11&gt;=5,"Medium","Low")))</f>
        <v/>
      </c>
      <c r="J11" s="4" t="inlineStr">
        <is>
          <t>HR onboarding/offboarding; access controls</t>
        </is>
      </c>
      <c r="K11" s="4" t="inlineStr">
        <is>
          <t>Mitigate</t>
        </is>
      </c>
      <c r="L11" s="4" t="inlineStr">
        <is>
          <t>UEBA; enhanced logging; least privilege; separation of duties</t>
        </is>
      </c>
      <c r="M11" s="4" t="inlineStr">
        <is>
          <t>IT Security Manager</t>
        </is>
      </c>
      <c r="N11" s="4" t="n">
        <v>1</v>
      </c>
      <c r="O11" s="4" t="n">
        <v>4</v>
      </c>
      <c r="P11" s="4">
        <f>N11*O11</f>
        <v/>
      </c>
      <c r="Q11" s="4">
        <f>IF(P11&gt;=15,"Critical",IF(P11&gt;=10,"High",IF(P11&gt;=5,"Medium","Low")))</f>
        <v/>
      </c>
      <c r="R11" s="4" t="inlineStr">
        <is>
          <t>Open</t>
        </is>
      </c>
      <c r="S11" s="5" t="inlineStr">
        <is>
          <t>2026-12-01</t>
        </is>
      </c>
    </row>
    <row r="12">
      <c r="A12" s="4" t="inlineStr">
        <is>
          <t>R-009</t>
        </is>
      </c>
      <c r="B12" s="4" t="inlineStr">
        <is>
          <t>Cloud Misconfiguration</t>
        </is>
      </c>
      <c r="C12" s="4" t="inlineStr">
        <is>
          <t>Cloud storage and services</t>
        </is>
      </c>
      <c r="D12" s="4" t="inlineStr">
        <is>
          <t>Unauthorized access</t>
        </is>
      </c>
      <c r="E12" s="4" t="inlineStr">
        <is>
          <t>Inconsistent security configuration and monitoring</t>
        </is>
      </c>
      <c r="F12" s="4" t="n">
        <v>3</v>
      </c>
      <c r="G12" s="4" t="n">
        <v>5</v>
      </c>
      <c r="H12" s="4">
        <f>F12*G12</f>
        <v/>
      </c>
      <c r="I12" s="4">
        <f>IF(H12&gt;=15,"Critical",IF(H12&gt;=10,"High",IF(H12&gt;=5,"Medium","Low")))</f>
        <v/>
      </c>
      <c r="J12" s="4" t="inlineStr">
        <is>
          <t>Cloud IAM; baseline configurations</t>
        </is>
      </c>
      <c r="K12" s="4" t="inlineStr">
        <is>
          <t>Mitigate</t>
        </is>
      </c>
      <c r="L12" s="4" t="inlineStr">
        <is>
          <t>CSPM; configuration baselines; continuous monitoring; secure architecture reviews</t>
        </is>
      </c>
      <c r="M12" s="4" t="inlineStr">
        <is>
          <t>Cloud Operations Manager</t>
        </is>
      </c>
      <c r="N12" s="4" t="n">
        <v>2</v>
      </c>
      <c r="O12" s="4" t="n">
        <v>4</v>
      </c>
      <c r="P12" s="4">
        <f>N12*O12</f>
        <v/>
      </c>
      <c r="Q12" s="4">
        <f>IF(P12&gt;=15,"Critical",IF(P12&gt;=10,"High",IF(P12&gt;=5,"Medium","Low")))</f>
        <v/>
      </c>
      <c r="R12" s="4" t="inlineStr">
        <is>
          <t>Open</t>
        </is>
      </c>
      <c r="S12" s="5" t="inlineStr">
        <is>
          <t>2026-11-30</t>
        </is>
      </c>
    </row>
    <row r="13">
      <c r="A13" s="4" t="inlineStr">
        <is>
          <t>R-010</t>
        </is>
      </c>
      <c r="B13" s="4" t="inlineStr">
        <is>
          <t>Insufficient Security Logging</t>
        </is>
      </c>
      <c r="C13" s="4" t="inlineStr">
        <is>
          <t>Critical applications and infrastructure</t>
        </is>
      </c>
      <c r="D13" s="4" t="inlineStr">
        <is>
          <t>Delayed detection</t>
        </is>
      </c>
      <c r="E13" s="4" t="inlineStr">
        <is>
          <t>Logs not centralized; inconsistent retention and alerting</t>
        </is>
      </c>
      <c r="F13" s="4" t="n">
        <v>3</v>
      </c>
      <c r="G13" s="4" t="n">
        <v>4</v>
      </c>
      <c r="H13" s="4">
        <f>F13*G13</f>
        <v/>
      </c>
      <c r="I13" s="4">
        <f>IF(H13&gt;=15,"Critical",IF(H13&gt;=10,"High",IF(H13&gt;=5,"Medium","Low")))</f>
        <v/>
      </c>
      <c r="J13" s="4" t="inlineStr">
        <is>
          <t>System logs; limited centralized monitoring</t>
        </is>
      </c>
      <c r="K13" s="4" t="inlineStr">
        <is>
          <t>Mitigate</t>
        </is>
      </c>
      <c r="L13" s="4" t="inlineStr">
        <is>
          <t>SIEM onboarding; log retention standard; alert use cases; daily monitoring</t>
        </is>
      </c>
      <c r="M13" s="4" t="inlineStr">
        <is>
          <t>SOC Manager</t>
        </is>
      </c>
      <c r="N13" s="4" t="n">
        <v>1</v>
      </c>
      <c r="O13" s="4" t="n">
        <v>3</v>
      </c>
      <c r="P13" s="4">
        <f>N13*O13</f>
        <v/>
      </c>
      <c r="Q13" s="4">
        <f>IF(P13&gt;=15,"Critical",IF(P13&gt;=10,"High",IF(P13&gt;=5,"Medium","Low")))</f>
        <v/>
      </c>
      <c r="R13" s="4" t="inlineStr">
        <is>
          <t>In Progress</t>
        </is>
      </c>
      <c r="S13" s="5" t="inlineStr">
        <is>
          <t>2026-10-15</t>
        </is>
      </c>
    </row>
    <row r="14">
      <c r="A14" s="4" t="inlineStr">
        <is>
          <t>R-011</t>
        </is>
      </c>
      <c r="B14" s="4" t="inlineStr">
        <is>
          <t>Business Email Compromise</t>
        </is>
      </c>
      <c r="C14" s="4" t="inlineStr">
        <is>
          <t>Finance and executive email</t>
        </is>
      </c>
      <c r="D14" s="4" t="inlineStr">
        <is>
          <t>Social engineering / account compromise</t>
        </is>
      </c>
      <c r="E14" s="4" t="inlineStr">
        <is>
          <t>Weak payment verification; exposed executive accounts</t>
        </is>
      </c>
      <c r="F14" s="4" t="n">
        <v>3</v>
      </c>
      <c r="G14" s="4" t="n">
        <v>5</v>
      </c>
      <c r="H14" s="4">
        <f>F14*G14</f>
        <v/>
      </c>
      <c r="I14" s="4">
        <f>IF(H14&gt;=15,"Critical",IF(H14&gt;=10,"High",IF(H14&gt;=5,"Medium","Low")))</f>
        <v/>
      </c>
      <c r="J14" s="4" t="inlineStr">
        <is>
          <t>MFA; approval workflows</t>
        </is>
      </c>
      <c r="K14" s="4" t="inlineStr">
        <is>
          <t>Mitigate</t>
        </is>
      </c>
      <c r="L14" s="4" t="inlineStr">
        <is>
          <t>Out-of-band payment verification; executive protection; conditional access</t>
        </is>
      </c>
      <c r="M14" s="4" t="inlineStr">
        <is>
          <t>Finance Director</t>
        </is>
      </c>
      <c r="N14" s="4" t="n">
        <v>2</v>
      </c>
      <c r="O14" s="4" t="n">
        <v>4</v>
      </c>
      <c r="P14" s="4">
        <f>N14*O14</f>
        <v/>
      </c>
      <c r="Q14" s="4">
        <f>IF(P14&gt;=15,"Critical",IF(P14&gt;=10,"High",IF(P14&gt;=5,"Medium","Low")))</f>
        <v/>
      </c>
      <c r="R14" s="4" t="inlineStr">
        <is>
          <t>Open</t>
        </is>
      </c>
      <c r="S14" s="5" t="inlineStr">
        <is>
          <t>2026-10-31</t>
        </is>
      </c>
    </row>
    <row r="15">
      <c r="A15" s="4" t="inlineStr">
        <is>
          <t>R-012</t>
        </is>
      </c>
      <c r="B15" s="4" t="inlineStr">
        <is>
          <t>Lost or Stolen Device</t>
        </is>
      </c>
      <c r="C15" s="4" t="inlineStr">
        <is>
          <t>Laptops and mobile devices</t>
        </is>
      </c>
      <c r="D15" s="4" t="inlineStr">
        <is>
          <t>Physical theft</t>
        </is>
      </c>
      <c r="E15" s="4" t="inlineStr">
        <is>
          <t>Device may contain cached data; inconsistent encryption</t>
        </is>
      </c>
      <c r="F15" s="4" t="n">
        <v>3</v>
      </c>
      <c r="G15" s="4" t="n">
        <v>4</v>
      </c>
      <c r="H15" s="4">
        <f>F15*G15</f>
        <v/>
      </c>
      <c r="I15" s="4">
        <f>IF(H15&gt;=15,"Critical",IF(H15&gt;=10,"High",IF(H15&gt;=5,"Medium","Low")))</f>
        <v/>
      </c>
      <c r="J15" s="4" t="inlineStr">
        <is>
          <t>Endpoint encryption; device inventory</t>
        </is>
      </c>
      <c r="K15" s="4" t="inlineStr">
        <is>
          <t>Mitigate</t>
        </is>
      </c>
      <c r="L15" s="4" t="inlineStr">
        <is>
          <t>Enforce full-disk encryption; MDM; remote wipe; asset tracking</t>
        </is>
      </c>
      <c r="M15" s="4" t="inlineStr">
        <is>
          <t>IT Operations Manager</t>
        </is>
      </c>
      <c r="N15" s="4" t="n">
        <v>1</v>
      </c>
      <c r="O15" s="4" t="n">
        <v>3</v>
      </c>
      <c r="P15" s="4">
        <f>N15*O15</f>
        <v/>
      </c>
      <c r="Q15" s="4">
        <f>IF(P15&gt;=15,"Critical",IF(P15&gt;=10,"High",IF(P15&gt;=5,"Medium","Low")))</f>
        <v/>
      </c>
      <c r="R15" s="4" t="inlineStr">
        <is>
          <t>In Progress</t>
        </is>
      </c>
      <c r="S15" s="5" t="inlineStr">
        <is>
          <t>2026-09-30</t>
        </is>
      </c>
    </row>
    <row r="16">
      <c r="A16" s="4" t="inlineStr">
        <is>
          <t>R-013</t>
        </is>
      </c>
      <c r="B16" s="4" t="inlineStr">
        <is>
          <t>Backup Failure</t>
        </is>
      </c>
      <c r="C16" s="4" t="inlineStr">
        <is>
          <t>Critical business data</t>
        </is>
      </c>
      <c r="D16" s="4" t="inlineStr">
        <is>
          <t>Data unrecoverability</t>
        </is>
      </c>
      <c r="E16" s="4" t="inlineStr">
        <is>
          <t>Backups may fail or not be tested regularly</t>
        </is>
      </c>
      <c r="F16" s="4" t="n">
        <v>2</v>
      </c>
      <c r="G16" s="4" t="n">
        <v>5</v>
      </c>
      <c r="H16" s="4">
        <f>F16*G16</f>
        <v/>
      </c>
      <c r="I16" s="4">
        <f>IF(H16&gt;=15,"Critical",IF(H16&gt;=10,"High",IF(H16&gt;=5,"Medium","Low")))</f>
        <v/>
      </c>
      <c r="J16" s="4" t="inlineStr">
        <is>
          <t>Scheduled backups; backup monitoring</t>
        </is>
      </c>
      <c r="K16" s="4" t="inlineStr">
        <is>
          <t>Mitigate</t>
        </is>
      </c>
      <c r="L16" s="4" t="inlineStr">
        <is>
          <t>Quarterly restore tests; immutable backup copies; documented RTO/RPO</t>
        </is>
      </c>
      <c r="M16" s="4" t="inlineStr">
        <is>
          <t>Infrastructure Manager</t>
        </is>
      </c>
      <c r="N16" s="4" t="n">
        <v>1</v>
      </c>
      <c r="O16" s="4" t="n">
        <v>3</v>
      </c>
      <c r="P16" s="4">
        <f>N16*O16</f>
        <v/>
      </c>
      <c r="Q16" s="4">
        <f>IF(P16&gt;=15,"Critical",IF(P16&gt;=10,"High",IF(P16&gt;=5,"Medium","Low")))</f>
        <v/>
      </c>
      <c r="R16" s="4" t="inlineStr">
        <is>
          <t>Open</t>
        </is>
      </c>
      <c r="S16" s="5" t="inlineStr">
        <is>
          <t>2026-10-31</t>
        </is>
      </c>
    </row>
    <row r="17">
      <c r="A17" s="4" t="inlineStr">
        <is>
          <t>R-014</t>
        </is>
      </c>
      <c r="B17" s="4" t="inlineStr">
        <is>
          <t>Unsupported Software</t>
        </is>
      </c>
      <c r="C17" s="4" t="inlineStr">
        <is>
          <t>Endpoints and applications</t>
        </is>
      </c>
      <c r="D17" s="4" t="inlineStr">
        <is>
          <t>Exploitation / instability</t>
        </is>
      </c>
      <c r="E17" s="4" t="inlineStr">
        <is>
          <t>Legacy applications beyond vendor support lifecycle</t>
        </is>
      </c>
      <c r="F17" s="4" t="n">
        <v>3</v>
      </c>
      <c r="G17" s="4" t="n">
        <v>4</v>
      </c>
      <c r="H17" s="4">
        <f>F17*G17</f>
        <v/>
      </c>
      <c r="I17" s="4">
        <f>IF(H17&gt;=15,"Critical",IF(H17&gt;=10,"High",IF(H17&gt;=5,"Medium","Low")))</f>
        <v/>
      </c>
      <c r="J17" s="4" t="inlineStr">
        <is>
          <t>Software inventory; limited compensating controls</t>
        </is>
      </c>
      <c r="K17" s="4" t="inlineStr">
        <is>
          <t>Mitigate</t>
        </is>
      </c>
      <c r="L17" s="4" t="inlineStr">
        <is>
          <t>Application lifecycle plan; replacement roadmap; network isolation where needed</t>
        </is>
      </c>
      <c r="M17" s="4" t="inlineStr">
        <is>
          <t>IT Operations Manager</t>
        </is>
      </c>
      <c r="N17" s="4" t="n">
        <v>2</v>
      </c>
      <c r="O17" s="4" t="n">
        <v>3</v>
      </c>
      <c r="P17" s="4">
        <f>N17*O17</f>
        <v/>
      </c>
      <c r="Q17" s="4">
        <f>IF(P17&gt;=15,"Critical",IF(P17&gt;=10,"High",IF(P17&gt;=5,"Medium","Low")))</f>
        <v/>
      </c>
      <c r="R17" s="4" t="inlineStr">
        <is>
          <t>Open</t>
        </is>
      </c>
      <c r="S17" s="5" t="inlineStr">
        <is>
          <t>2027-01-15</t>
        </is>
      </c>
    </row>
    <row r="18">
      <c r="A18" s="4" t="inlineStr">
        <is>
          <t>R-015</t>
        </is>
      </c>
      <c r="B18" s="4" t="inlineStr">
        <is>
          <t>Incident Response Gaps</t>
        </is>
      </c>
      <c r="C18" s="4" t="inlineStr">
        <is>
          <t>Security operations</t>
        </is>
      </c>
      <c r="D18" s="4" t="inlineStr">
        <is>
          <t>Slow or inconsistent response</t>
        </is>
      </c>
      <c r="E18" s="4" t="inlineStr">
        <is>
          <t>Incomplete playbooks; limited tabletop testing</t>
        </is>
      </c>
      <c r="F18" s="4" t="n">
        <v>3</v>
      </c>
      <c r="G18" s="4" t="n">
        <v>4</v>
      </c>
      <c r="H18" s="4">
        <f>F18*G18</f>
        <v/>
      </c>
      <c r="I18" s="4">
        <f>IF(H18&gt;=15,"Critical",IF(H18&gt;=10,"High",IF(H18&gt;=5,"Medium","Low")))</f>
        <v/>
      </c>
      <c r="J18" s="4" t="inlineStr">
        <is>
          <t>Incident response policy; escalation contacts</t>
        </is>
      </c>
      <c r="K18" s="4" t="inlineStr">
        <is>
          <t>Mitigate</t>
        </is>
      </c>
      <c r="L18" s="4" t="inlineStr">
        <is>
          <t>Create playbooks; tabletop exercises; after-action reviews; define SLAs</t>
        </is>
      </c>
      <c r="M18" s="4" t="inlineStr">
        <is>
          <t>SOC Manager</t>
        </is>
      </c>
      <c r="N18" s="4" t="n">
        <v>1</v>
      </c>
      <c r="O18" s="4" t="n">
        <v>3</v>
      </c>
      <c r="P18" s="4">
        <f>N18*O18</f>
        <v/>
      </c>
      <c r="Q18" s="4">
        <f>IF(P18&gt;=15,"Critical",IF(P18&gt;=10,"High",IF(P18&gt;=5,"Medium","Low")))</f>
        <v/>
      </c>
      <c r="R18" s="4" t="inlineStr">
        <is>
          <t>Open</t>
        </is>
      </c>
      <c r="S18" s="5" t="inlineStr">
        <is>
          <t>2026-11-15</t>
        </is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>
        <f>F19*G19</f>
        <v/>
      </c>
      <c r="I19" s="4">
        <f>IF(H19&gt;=15,"Critical",IF(H19&gt;=10,"High",IF(H19&gt;=5,"Medium","Low")))</f>
        <v/>
      </c>
      <c r="J19" s="4" t="n"/>
      <c r="K19" s="4" t="n"/>
      <c r="L19" s="4" t="n"/>
      <c r="M19" s="4" t="n"/>
      <c r="N19" s="4" t="n"/>
      <c r="O19" s="4" t="n"/>
      <c r="P19" s="4">
        <f>N19*O19</f>
        <v/>
      </c>
      <c r="Q19" s="4">
        <f>IF(P19&gt;=15,"Critical",IF(P19&gt;=10,"High",IF(P19&gt;=5,"Medium","Low")))</f>
        <v/>
      </c>
      <c r="R19" s="4" t="n"/>
      <c r="S19" s="5" t="n"/>
    </row>
  </sheetData>
  <autoFilter ref="A4:S19"/>
  <mergeCells count="2">
    <mergeCell ref="A2:S2"/>
    <mergeCell ref="A1:S1"/>
  </mergeCells>
  <conditionalFormatting sqref="I5:I19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Q5:Q19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dataValidations count="3">
    <dataValidation sqref="F5:G19 N5:O19" showDropDown="0" showInputMessage="0" showErrorMessage="0" allowBlank="0" type="whole" operator="between">
      <formula1>1</formula1>
      <formula2>5</formula2>
    </dataValidation>
    <dataValidation sqref="R5:R19" showDropDown="0" showInputMessage="0" showErrorMessage="0" allowBlank="0" type="list">
      <formula1>"Open,In Progress,Accepted,Closed"</formula1>
    </dataValidation>
    <dataValidation sqref="K5:K19" showDropDown="0" showInputMessage="0" showErrorMessage="0" allowBlank="0" type="list">
      <formula1>"Mitigate,Transfer,Accept,Avoid"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6" t="inlineStr">
        <is>
          <t>Apex Financial Services — Risk Assessment Methodology</t>
        </is>
      </c>
      <c r="B1" s="7" t="n"/>
    </row>
    <row r="2">
      <c r="A2" s="8" t="inlineStr">
        <is>
          <t>Purpose</t>
        </is>
      </c>
      <c r="B2" s="8" t="inlineStr">
        <is>
          <t>Provide a repeatable approach for identifying, rating, treating, and monitoring cybersecurity risks.</t>
        </is>
      </c>
    </row>
    <row r="3">
      <c r="A3" s="7" t="inlineStr">
        <is>
          <t>Scope</t>
        </is>
      </c>
      <c r="B3" s="7" t="inlineStr">
        <is>
          <t>Fictional corporate environment covering identity, endpoints, cloud, vendors, data, infrastructure, and security operations.</t>
        </is>
      </c>
    </row>
    <row r="4">
      <c r="A4" s="7" t="inlineStr">
        <is>
          <t>Likelihood</t>
        </is>
      </c>
      <c r="B4" s="7" t="inlineStr">
        <is>
          <t>1 = Rare | 2 = Unlikely | 3 = Possible | 4 = Likely | 5 = Almost Certain</t>
        </is>
      </c>
    </row>
    <row r="5">
      <c r="A5" s="7" t="inlineStr">
        <is>
          <t>Impact</t>
        </is>
      </c>
      <c r="B5" s="7" t="inlineStr">
        <is>
          <t>1 = Negligible | 2 = Minor | 3 = Moderate | 4 = Major | 5 = Severe</t>
        </is>
      </c>
    </row>
    <row r="6">
      <c r="A6" s="7" t="inlineStr">
        <is>
          <t>Risk Score</t>
        </is>
      </c>
      <c r="B6" s="7" t="inlineStr">
        <is>
          <t>Likelihood × Impact</t>
        </is>
      </c>
    </row>
    <row r="7">
      <c r="A7" s="7" t="inlineStr">
        <is>
          <t>Low</t>
        </is>
      </c>
      <c r="B7" s="7" t="inlineStr">
        <is>
          <t>1–4</t>
        </is>
      </c>
    </row>
    <row r="8">
      <c r="A8" s="7" t="inlineStr">
        <is>
          <t>Medium</t>
        </is>
      </c>
      <c r="B8" s="7" t="inlineStr">
        <is>
          <t>5–9</t>
        </is>
      </c>
    </row>
    <row r="9">
      <c r="A9" s="7" t="inlineStr">
        <is>
          <t>High</t>
        </is>
      </c>
      <c r="B9" s="7" t="inlineStr">
        <is>
          <t>10–14</t>
        </is>
      </c>
    </row>
    <row r="10">
      <c r="A10" s="7" t="inlineStr">
        <is>
          <t>Critical</t>
        </is>
      </c>
      <c r="B10" s="7" t="inlineStr">
        <is>
          <t>15–25</t>
        </is>
      </c>
    </row>
    <row r="11">
      <c r="A11" s="7" t="inlineStr">
        <is>
          <t>Risk Treatment</t>
        </is>
      </c>
      <c r="B11" s="7" t="inlineStr">
        <is>
          <t>Mitigate = reduce likelihood/impact; Transfer = shift financial/contractual exposure; Accept = formally retain risk; Avoid = stop the risky activity.</t>
        </is>
      </c>
    </row>
    <row r="12">
      <c r="A12" s="7" t="inlineStr">
        <is>
          <t>Residual Risk</t>
        </is>
      </c>
      <c r="B12" s="7" t="inlineStr">
        <is>
          <t>Risk remaining after existing and recommended controls are considered.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6" t="inlineStr">
        <is>
          <t>Apex Financial Services — Executive Risk Summary</t>
        </is>
      </c>
      <c r="B1" s="7" t="n"/>
    </row>
    <row r="2">
      <c r="A2" s="8" t="inlineStr">
        <is>
          <t>Project Type</t>
        </is>
      </c>
      <c r="B2" s="7" t="inlineStr">
        <is>
          <t>Cybersecurity / GRC Portfolio Project</t>
        </is>
      </c>
    </row>
    <row r="3">
      <c r="A3" s="8" t="inlineStr">
        <is>
          <t>Assessment Date</t>
        </is>
      </c>
      <c r="B3" s="7" t="inlineStr">
        <is>
          <t>2026-08-14</t>
        </is>
      </c>
    </row>
    <row r="4">
      <c r="A4" s="8" t="inlineStr">
        <is>
          <t>Total Risks</t>
        </is>
      </c>
      <c r="B4" s="7" t="n">
        <v>15</v>
      </c>
    </row>
    <row r="5">
      <c r="A5" s="8" t="inlineStr">
        <is>
          <t>Critical Inherent Risks</t>
        </is>
      </c>
      <c r="B5" s="7">
        <f>COUNTIF('Risk Register'!I5:I19,"Critical")</f>
        <v/>
      </c>
    </row>
    <row r="6">
      <c r="A6" s="8" t="inlineStr">
        <is>
          <t>High Inherent Risks</t>
        </is>
      </c>
      <c r="B6" s="7">
        <f>COUNTIF('Risk Register'!I5:I19,"High")</f>
        <v/>
      </c>
    </row>
    <row r="7">
      <c r="A7" s="8" t="inlineStr">
        <is>
          <t>Medium Inherent Risks</t>
        </is>
      </c>
      <c r="B7" s="7">
        <f>COUNTIF('Risk Register'!I5:I19,"Medium")</f>
        <v/>
      </c>
    </row>
    <row r="8">
      <c r="A8" s="8" t="inlineStr">
        <is>
          <t>Low Inherent Risks</t>
        </is>
      </c>
      <c r="B8" s="7">
        <f>COUNTIF('Risk Register'!I5:I19,"Low")</f>
        <v/>
      </c>
    </row>
    <row r="9">
      <c r="A9" s="7" t="n"/>
      <c r="B9" s="7" t="n"/>
    </row>
    <row r="10">
      <c r="A10" s="8" t="inlineStr">
        <is>
          <t>Priority Findings</t>
        </is>
      </c>
      <c r="B10" s="7" t="n"/>
    </row>
    <row r="11">
      <c r="A11" s="7" t="inlineStr">
        <is>
          <t>1</t>
        </is>
      </c>
      <c r="B11" s="7" t="inlineStr">
        <is>
          <t>Phishing, ransomware, and credential compromise create the greatest immediate exposure.</t>
        </is>
      </c>
    </row>
    <row r="12">
      <c r="A12" s="7" t="inlineStr">
        <is>
          <t>2</t>
        </is>
      </c>
      <c r="B12" s="7" t="inlineStr">
        <is>
          <t>Identity and access controls should be strengthened through least privilege, MFA, and recurring access reviews.</t>
        </is>
      </c>
    </row>
    <row r="13">
      <c r="A13" s="7" t="inlineStr">
        <is>
          <t>3</t>
        </is>
      </c>
      <c r="B13" s="7" t="inlineStr">
        <is>
          <t>Patch management, logging/SIEM coverage, and incident response readiness require continued investment.</t>
        </is>
      </c>
    </row>
    <row r="14">
      <c r="A14" s="7" t="inlineStr">
        <is>
          <t>4</t>
        </is>
      </c>
      <c r="B14" s="7" t="inlineStr">
        <is>
          <t>Third-party and cloud risks require consistent assessments and configuration monitoring.</t>
        </is>
      </c>
    </row>
    <row r="15">
      <c r="A15" s="7" t="n"/>
      <c r="B15" s="7" t="n"/>
    </row>
    <row r="16">
      <c r="A16" s="8" t="inlineStr">
        <is>
          <t>Recommended Next Steps</t>
        </is>
      </c>
      <c r="B16" s="7" t="n"/>
    </row>
    <row r="17">
      <c r="A17" s="7" t="inlineStr">
        <is>
          <t>1</t>
        </is>
      </c>
      <c r="B17" s="7" t="inlineStr">
        <is>
          <t>Address Critical and High risks first with named owners and target dates.</t>
        </is>
      </c>
    </row>
    <row r="18">
      <c r="A18" s="7" t="inlineStr">
        <is>
          <t>2</t>
        </is>
      </c>
      <c r="B18" s="7" t="inlineStr">
        <is>
          <t>Track residual risk after controls are implemented.</t>
        </is>
      </c>
    </row>
    <row r="19">
      <c r="A19" s="7" t="inlineStr">
        <is>
          <t>3</t>
        </is>
      </c>
      <c r="B19" s="7" t="inlineStr">
        <is>
          <t>Review the register at least quarterly and after major security incidents or technology changes.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2026-08-14T21:31:56Z</dcterms:created>
  <dcterms:modified xmlns:dcterms="http://purl.org/dc/terms/" xmlns:xsi="http://www.w3.org/2001/XMLSchema-instance" xsi:type="dcterms:W3CDTF">2026-08-14T21:31:56Z</dcterms:modified>
</cp:coreProperties>
</file>